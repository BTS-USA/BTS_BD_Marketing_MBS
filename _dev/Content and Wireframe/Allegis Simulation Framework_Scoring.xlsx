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inetpub\wwwroot\Wizer\Pages\Events\Allegis_Shareholder_Meeting_MBS\_dev\Scoring Sheet\"/>
    </mc:Choice>
  </mc:AlternateContent>
  <xr:revisionPtr revIDLastSave="0" documentId="13_ncr:1_{C23963AF-38E6-4DC2-B212-D893EABFE853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cores" sheetId="1" r:id="rId1"/>
    <sheet name="Wobbler" sheetId="2" r:id="rId2"/>
    <sheet name="Event fields" sheetId="3" r:id="rId3"/>
  </sheets>
  <definedNames>
    <definedName name="_xlnm.Print_Area" localSheetId="2">'Event fields'!$A$1:$G$51</definedName>
    <definedName name="_xlnm.Print_Area" localSheetId="0">Scores!$A$1:$J$42</definedName>
    <definedName name="_xlnm.Print_Area" localSheetId="1">Wobbler!$A$1:$E$11</definedName>
    <definedName name="_xlnm.Print_Titles" localSheetId="0">Scores!$1:$4</definedName>
    <definedName name="ScoringKey">Scores!$A$4:$J$39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1" i="1" l="1"/>
  <c r="I30" i="1"/>
  <c r="I29" i="1"/>
  <c r="I12" i="1"/>
  <c r="I11" i="1"/>
  <c r="I10" i="1"/>
  <c r="I8" i="1"/>
  <c r="I7" i="1"/>
  <c r="I6" i="1"/>
  <c r="I5" i="1"/>
</calcChain>
</file>

<file path=xl/sharedStrings.xml><?xml version="1.0" encoding="utf-8"?>
<sst xmlns="http://schemas.openxmlformats.org/spreadsheetml/2006/main" count="386" uniqueCount="127">
  <si>
    <t>Allegis AI Simulation — Scoring sheet</t>
  </si>
  <si>
    <t>From Allegis Simulation Framework_For Digital. Gauge 1 = AI Velocity, Gauge 2 = Team Trust, Gauge 3 = Enterprise Value. Totals are formulas. The highest total in each scored moment is marked.</t>
  </si>
  <si>
    <t>Moment</t>
  </si>
  <si>
    <t>Title</t>
  </si>
  <si>
    <t>Slides</t>
  </si>
  <si>
    <t>Event activity</t>
  </si>
  <si>
    <t>Option</t>
  </si>
  <si>
    <t>AI Velocity</t>
  </si>
  <si>
    <t>Team Trust</t>
  </si>
  <si>
    <t>Enterprise Value</t>
  </si>
  <si>
    <t>Total</t>
  </si>
  <si>
    <t>Choice</t>
  </si>
  <si>
    <t>Moment 1</t>
  </si>
  <si>
    <t>Prioritizing First Steps</t>
  </si>
  <si>
    <t>3–4</t>
  </si>
  <si>
    <t>Activity1</t>
  </si>
  <si>
    <t>A</t>
  </si>
  <si>
    <t>Agree criteria with the group, then score every case the same way.</t>
  </si>
  <si>
    <t>B</t>
  </si>
  <si>
    <t>Draft your own portfolio and build support one-on-one.</t>
  </si>
  <si>
    <t>C</t>
  </si>
  <si>
    <t>Filter alone to a shortlist of six, then discuss those.</t>
  </si>
  <si>
    <t>D</t>
  </si>
  <si>
    <t>Five-minute pitches to a panel that picks the top three.</t>
  </si>
  <si>
    <t>Moment 2</t>
  </si>
  <si>
    <t>When Morale and Engagement Is Low</t>
  </si>
  <si>
    <t>5–6</t>
  </si>
  <si>
    <t>Activity2</t>
  </si>
  <si>
    <t>Tell Jordan the truth about the SLT conversation and reset milestones.</t>
  </si>
  <si>
    <t>Bring in Marcus, an outside AI implementation expert.</t>
  </si>
  <si>
    <t>Recommend winding the pilot down and protecting the team's reputation.</t>
  </si>
  <si>
    <t>Deck has options A–C only. The event still has a fourth option slot.</t>
  </si>
  <si>
    <t>Moment 3</t>
  </si>
  <si>
    <t>When a Team Has a Breakthrough Worth Scaling</t>
  </si>
  <si>
    <t>9–10</t>
  </si>
  <si>
    <t>Activity4</t>
  </si>
  <si>
    <t>Fast rollout now; document as the other teams go.</t>
  </si>
  <si>
    <t>Six-week pilot with two teams; document while teaching, then scale.</t>
  </si>
  <si>
    <t>Pause and stand up a full documentation workstream before any rollout.</t>
  </si>
  <si>
    <t>Moment 4, option 1</t>
  </si>
  <si>
    <t>When Your Team Is Afraid of Being Replaced by AI</t>
  </si>
  <si>
    <t>11–12</t>
  </si>
  <si>
    <t>Activity5</t>
  </si>
  <si>
    <t>Acknowledge the concern, share it, and advocate upward for role clarity.</t>
  </si>
  <si>
    <t>Be straight about what will change, and commit to honest updates.</t>
  </si>
  <si>
    <t>Anchor in purpose and invite this group to shape how AI is implemented.</t>
  </si>
  <si>
    <t>Set the agenda aside, listen, and take what you hear to leadership.</t>
  </si>
  <si>
    <t>No scoring on this question. Activity 5 feedback does not show metric impacts, and these choices are not written to the gauges.</t>
  </si>
  <si>
    <t>How to read this sheet    ·    Green total = highest in that moment    ·    Moment 2B (wobbler) is a force-rank, not a gauge score — see the Wobbler sheet    ·    Moment 4 option 1 (Activity 5) is not scored and shows no impacts. Moment 4 option 2 is an open word cloud and has no scores    ·    Event activity is the matching slot in Allegis_Shareholder_Meeting_MBS (Activity3 = wobbler, Activity6 = word cloud).</t>
  </si>
  <si>
    <t>Moment 2B — Wobbler ranking</t>
  </si>
  <si>
    <t>When relief ≠ repair    ·    Slides 7–8    ·    Event activity: Activity3 (ranking)</t>
  </si>
  <si>
    <t>Participants force-rank the factors most responsible for the emerging risk, greatest to least. This is not scored on AI Velocity, Team Trust, or Enterprise Value. On screen, slide 8 says: BTS recommends communicating that D is the most efficient thing to do first. The ranking below is the facilitator note: most responsible to least responsible.</t>
  </si>
  <si>
    <t>Rank</t>
  </si>
  <si>
    <t>Factor on the slide</t>
  </si>
  <si>
    <t>Why this rank</t>
  </si>
  <si>
    <t>Slide 8 label</t>
  </si>
  <si>
    <t>The moment needed to become a repeatable standard for struggling pilots, not a one-off fix.</t>
  </si>
  <si>
    <t>Most responsible. Systemic root of both the outside resignations and the quiet overload.</t>
  </si>
  <si>
    <t>D) Jordan's team needed direct reassurance from you, but that moment needed to become a repeatable standard…</t>
  </si>
  <si>
    <t>Honesty rebuilt trust with Jordan's team but never reached the teams watching from outside.</t>
  </si>
  <si>
    <t>Next, slightly ahead of C. Relationship-equity gap.</t>
  </si>
  <si>
    <t>A) Trust was rebuilt with Jordan's team, but the honesty never reached the teams watching from outside.</t>
  </si>
  <si>
    <t>You addressed what your team needed to hear, not what the organization needed to see.</t>
  </si>
  <si>
    <t>Next, roughly tied with A. Organizational-visibility gap.</t>
  </si>
  <si>
    <t>C) You addressed what your team needed to hear, but not what the organization needed to see.</t>
  </si>
  <si>
    <t>Morale recovered, but one team is still doing the work of three.</t>
  </si>
  <si>
    <t>Least responsible. A real capacity problem, but not what this moment asked you to solve.</t>
  </si>
  <si>
    <t>B) Morale recovered because the immediate threat was removed, but one team is still doing the work of three.</t>
  </si>
  <si>
    <t>Recommended order to communicate: D, then A, then C, then B. A and C are described as roughly tied; A is slightly ahead because it names relationship equity more precisely.</t>
  </si>
  <si>
    <t>Where these scores land in the event CSV</t>
  </si>
  <si>
    <t>Allegis_Shareholder_Meeting_MBS.csv still has placeholder gauge values. Use this map when those parameters are filled. Gauge labels on the slides are AI Velocity, Team Trust, and Enterprise Value.</t>
  </si>
  <si>
    <t>CSV parameter</t>
  </si>
  <si>
    <t>Gauge</t>
  </si>
  <si>
    <t>Value</t>
  </si>
  <si>
    <t>Scored on slide</t>
  </si>
  <si>
    <t>Notes</t>
  </si>
  <si>
    <t>Activity1_A_Score_1</t>
  </si>
  <si>
    <t>Gauge1 — AI Velocity</t>
  </si>
  <si>
    <t>Yes</t>
  </si>
  <si>
    <t>Activity1_A_Score_2</t>
  </si>
  <si>
    <t>Gauge2 — Team Trust</t>
  </si>
  <si>
    <t>Activity1_A_Score_3</t>
  </si>
  <si>
    <t>Gauge3 — Enterprise Value</t>
  </si>
  <si>
    <t>Activity1_B_Score_1</t>
  </si>
  <si>
    <t>Activity1_B_Score_2</t>
  </si>
  <si>
    <t>Activity1_B_Score_3</t>
  </si>
  <si>
    <t>Activity1_C_Score_1</t>
  </si>
  <si>
    <t>Activity1_C_Score_2</t>
  </si>
  <si>
    <t>Activity1_C_Score_3</t>
  </si>
  <si>
    <t>Activity1_D_Score_1</t>
  </si>
  <si>
    <t>Activity1_D_Score_2</t>
  </si>
  <si>
    <t>Activity1_D_Score_3</t>
  </si>
  <si>
    <t>Activity2_A_Score_1</t>
  </si>
  <si>
    <t>Activity2_A_Score_2</t>
  </si>
  <si>
    <t>Activity2_A_Score_3</t>
  </si>
  <si>
    <t>Activity2_B_Score_1</t>
  </si>
  <si>
    <t>Activity2_B_Score_2</t>
  </si>
  <si>
    <t>Activity2_B_Score_3</t>
  </si>
  <si>
    <t>Activity2_C_Score_1</t>
  </si>
  <si>
    <t>Activity2_C_Score_2</t>
  </si>
  <si>
    <t>Activity2_C_Score_3</t>
  </si>
  <si>
    <t>Activity4_A_Score_1</t>
  </si>
  <si>
    <t>Activity4_A_Score_2</t>
  </si>
  <si>
    <t>Activity4_A_Score_3</t>
  </si>
  <si>
    <t>Activity4_B_Score_1</t>
  </si>
  <si>
    <t>Activity4_B_Score_2</t>
  </si>
  <si>
    <t>Activity4_B_Score_3</t>
  </si>
  <si>
    <t>Activity4_C_Score_1</t>
  </si>
  <si>
    <t>Activity4_C_Score_2</t>
  </si>
  <si>
    <t>Activity4_C_Score_3</t>
  </si>
  <si>
    <t>Activity5_A_Score_1</t>
  </si>
  <si>
    <t>No</t>
  </si>
  <si>
    <t>Not shown on feedback. Not written to the gauges.</t>
  </si>
  <si>
    <t>Activity5_A_Score_2</t>
  </si>
  <si>
    <t>Activity5_A_Score_3</t>
  </si>
  <si>
    <t>Activity5_B_Score_1</t>
  </si>
  <si>
    <t>Activity5_B_Score_2</t>
  </si>
  <si>
    <t>Activity5_B_Score_3</t>
  </si>
  <si>
    <t>Activity5_C_Score_1</t>
  </si>
  <si>
    <t>Activity5_C_Score_2</t>
  </si>
  <si>
    <t>Activity5_C_Score_3</t>
  </si>
  <si>
    <t>Activity5_D_Score_1</t>
  </si>
  <si>
    <t>Activity5_D_Score_2</t>
  </si>
  <si>
    <t>Activity5_D_Score_3</t>
  </si>
  <si>
    <t>Not on this map: Activity3 (Moment 2B wobbler, force-rank) and Activity6 (Moment 4 option 2, word cloud). Neither uses the three gauges.</t>
  </si>
  <si>
    <t>Moment 2B — Wobbler ranking (no scoring)</t>
  </si>
  <si>
    <t>Moment 4 (no scoring)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</si>
</sst>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+0;\-0;0"/>
  </numFmts>
  <fonts count="14" x14ac:knownFonts="1">
    <font>
      <sz val="11"/>
      <color theme="1"/>
      <name val="Calibri"/>
      <family val="2"/>
      <scheme val="minor"/>
    </font>
    <font>
      <b/>
      <sz val="20"/>
      <color rgb="FF1F2933"/>
      <name val="Calibri"/>
    </font>
    <font>
      <sz val="11"/>
      <color rgb="FF6B6560"/>
      <name val="Calibri"/>
    </font>
    <font>
      <b/>
      <sz val="11"/>
      <color rgb="FFFFFFFF"/>
      <name val="Calibri"/>
    </font>
    <font>
      <b/>
      <sz val="11"/>
      <color rgb="FF1A1A1A"/>
      <name val="Calibri"/>
    </font>
    <font>
      <sz val="11"/>
      <color rgb="FF1A1A1A"/>
      <name val="Calibri"/>
    </font>
    <font>
      <sz val="10"/>
      <color rgb="FF6B4E16"/>
      <name val="Calibri"/>
    </font>
    <font>
      <b/>
      <sz val="11"/>
      <color rgb="FF6B6560"/>
      <name val="Calibri"/>
    </font>
    <font>
      <sz val="10"/>
      <color rgb="FF6B6560"/>
      <name val="Calibri"/>
    </font>
    <font>
      <sz val="12"/>
      <color rgb="FF6B6560"/>
      <name val="Calibri"/>
    </font>
    <font>
      <b/>
      <sz val="14"/>
      <color rgb="FFFFFFFF"/>
      <name val="Calibri"/>
    </font>
    <font>
      <b/>
      <sz val="14"/>
      <color rgb="FF1F2933"/>
      <name val="Calibri"/>
    </font>
    <font>
      <b/>
      <sz val="11"/>
      <color rgb="FF1E4D3A"/>
      <name val="Calibri"/>
    </font>
    <font>
      <b/>
      <sz val="18"/>
      <color rgb="FF1A1A1A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1F2933"/>
      </patternFill>
    </fill>
    <fill>
      <patternFill patternType="solid">
        <fgColor rgb="FF2F5D8C"/>
      </patternFill>
    </fill>
    <fill>
      <patternFill patternType="solid">
        <fgColor rgb="FF1F6F6A"/>
      </patternFill>
    </fill>
    <fill>
      <patternFill patternType="solid">
        <fgColor rgb="FF8A6A2F"/>
      </patternFill>
    </fill>
    <fill>
      <patternFill patternType="solid">
        <fgColor rgb="FFF7F4EF"/>
      </patternFill>
    </fill>
    <fill>
      <patternFill patternType="solid">
        <fgColor rgb="FFFFFFFF"/>
      </patternFill>
    </fill>
    <fill>
      <patternFill patternType="solid">
        <fgColor rgb="FFF8E8C8"/>
      </patternFill>
    </fill>
    <fill>
      <patternFill patternType="solid">
        <fgColor rgb="FFF4F1EC"/>
      </patternFill>
    </fill>
    <fill>
      <patternFill patternType="solid">
        <fgColor rgb="FF1E7A46"/>
      </patternFill>
    </fill>
    <fill>
      <patternFill patternType="solid">
        <fgColor rgb="FF5C6B73"/>
      </patternFill>
    </fill>
    <fill>
      <patternFill patternType="solid">
        <fgColor rgb="FFE5F2EA"/>
      </patternFill>
    </fill>
  </fills>
  <borders count="4">
    <border>
      <left/>
      <right/>
      <top/>
      <bottom/>
      <diagonal/>
    </border>
    <border>
      <left style="thin">
        <color rgb="FFD9D3C9"/>
      </left>
      <right style="thin">
        <color rgb="FFD9D3C9"/>
      </right>
      <top style="thin">
        <color rgb="FFD9D3C9"/>
      </top>
      <bottom style="thin">
        <color rgb="FFD9D3C9"/>
      </bottom>
      <diagonal/>
    </border>
    <border>
      <left/>
      <right/>
      <top style="thin">
        <color rgb="FFD9D3C9"/>
      </top>
      <bottom style="thin">
        <color rgb="FFD9D3C9"/>
      </bottom>
      <diagonal/>
    </border>
    <border>
      <left/>
      <right style="thin">
        <color rgb="FFD9D3C9"/>
      </right>
      <top style="thin">
        <color rgb="FFD9D3C9"/>
      </top>
      <bottom style="thin">
        <color rgb="FFD9D3C9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164" fontId="5" fillId="6" borderId="1" xfId="0" applyNumberFormat="1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vertical="center" wrapText="1"/>
    </xf>
    <xf numFmtId="0" fontId="5" fillId="7" borderId="1" xfId="0" applyFont="1" applyFill="1" applyBorder="1" applyAlignment="1">
      <alignment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164" fontId="5" fillId="7" borderId="1" xfId="0" applyNumberFormat="1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164" fontId="2" fillId="9" borderId="1" xfId="0" applyNumberFormat="1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0" fillId="0" borderId="0" xfId="0"/>
    <xf numFmtId="0" fontId="6" fillId="8" borderId="1" xfId="0" applyFont="1" applyFill="1" applyBorder="1" applyAlignment="1">
      <alignment vertical="center" wrapText="1" indent="1"/>
    </xf>
    <xf numFmtId="0" fontId="0" fillId="0" borderId="2" xfId="0" applyBorder="1"/>
    <xf numFmtId="0" fontId="0" fillId="0" borderId="3" xfId="0" applyBorder="1"/>
    <xf numFmtId="0" fontId="8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9" fillId="0" borderId="0" xfId="0" applyFont="1"/>
    <xf numFmtId="0" fontId="12" fillId="12" borderId="1" xfId="0" applyFont="1" applyFill="1" applyBorder="1" applyAlignment="1">
      <alignment vertical="center" wrapText="1" indent="1"/>
    </xf>
    <xf numFmtId="0" fontId="5" fillId="0" borderId="0" xfId="0" applyFont="1" applyAlignment="1">
      <alignment vertical="center" wrapText="1"/>
    </xf>
    <xf numFmtId="0" fontId="1" fillId="0" borderId="0" xfId="0" applyFont="1"/>
    <xf numFmtId="0" fontId="13" fillId="6" borderId="0" xfId="0" applyFont="1" applyFill="1" applyBorder="1" applyAlignment="1">
      <alignment vertical="center" wrapText="1"/>
    </xf>
  </cellXfs>
  <cellStyles count="1">
    <cellStyle name="Normal" xfId="0" builtinId="0"/>
  </cellStyles>
  <dxfs count="9">
    <dxf>
      <font>
        <b/>
        <sz val="11"/>
        <color rgb="FF1E7A46"/>
        <name val="Calibri"/>
      </font>
      <fill>
        <patternFill patternType="solid">
          <fgColor rgb="FFDCEFE4"/>
        </patternFill>
      </fill>
    </dxf>
    <dxf>
      <font>
        <b/>
        <sz val="11"/>
        <color rgb="FF1E7A46"/>
        <name val="Calibri"/>
      </font>
      <fill>
        <patternFill patternType="solid">
          <fgColor rgb="FFDCEFE4"/>
        </patternFill>
      </fill>
    </dxf>
    <dxf>
      <font>
        <b/>
        <sz val="11"/>
        <color rgb="FF1E7A46"/>
        <name val="Calibri"/>
      </font>
      <fill>
        <patternFill patternType="solid">
          <fgColor rgb="FFDCEFE4"/>
        </patternFill>
      </fill>
    </dxf>
    <dxf>
      <font>
        <b/>
        <sz val="11"/>
        <color rgb="FFA33B3B"/>
        <name val="Calibri"/>
      </font>
    </dxf>
    <dxf>
      <font>
        <b/>
        <sz val="11"/>
        <color rgb="FF1E7A46"/>
        <name val="Calibri"/>
      </font>
    </dxf>
    <dxf>
      <font>
        <b/>
        <sz val="11"/>
        <color rgb="FFA33B3B"/>
        <name val="Calibri"/>
      </font>
    </dxf>
    <dxf>
      <font>
        <b/>
        <sz val="11"/>
        <color rgb="FF1E7A46"/>
        <name val="Calibri"/>
      </font>
    </dxf>
    <dxf>
      <font>
        <b/>
        <sz val="11"/>
        <color rgb="FFA33B3B"/>
        <name val="Calibri"/>
      </font>
    </dxf>
    <dxf>
      <font>
        <b/>
        <sz val="11"/>
        <color rgb="FF1E7A46"/>
        <name val="Calibri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2933"/>
    <pageSetUpPr fitToPage="1"/>
  </sheetPr>
  <dimension ref="A1:J42"/>
  <sheetViews>
    <sheetView showGridLines="0" tabSelected="1" zoomScale="110" workbookViewId="0">
      <pane ySplit="4" topLeftCell="A24" activePane="bottomLeft" state="frozen"/>
      <selection pane="bottomLeft" activeCell="A34" sqref="A34"/>
    </sheetView>
  </sheetViews>
  <sheetFormatPr defaultRowHeight="15" x14ac:dyDescent="0.25"/>
  <cols>
    <col min="1" max="1" width="28.42578125" customWidth="1"/>
    <col min="2" max="2" width="42" customWidth="1"/>
    <col min="3" max="3" width="12" customWidth="1"/>
    <col min="4" max="4" width="18" customWidth="1"/>
    <col min="5" max="5" width="12" customWidth="1"/>
    <col min="6" max="7" width="16" customWidth="1"/>
    <col min="8" max="8" width="20" customWidth="1"/>
    <col min="9" max="9" width="12" customWidth="1"/>
    <col min="10" max="10" width="78" customWidth="1"/>
  </cols>
  <sheetData>
    <row r="1" spans="1:10" ht="27.95" customHeight="1" x14ac:dyDescent="0.25">
      <c r="A1" s="26" t="s">
        <v>0</v>
      </c>
      <c r="B1" s="27"/>
      <c r="C1" s="27"/>
      <c r="D1" s="27"/>
      <c r="E1" s="27"/>
      <c r="F1" s="27"/>
      <c r="G1" s="27"/>
      <c r="H1" s="27"/>
      <c r="I1" s="27"/>
      <c r="J1" s="27"/>
    </row>
    <row r="2" spans="1:10" ht="32.1" customHeight="1" x14ac:dyDescent="0.25">
      <c r="A2" s="32" t="s">
        <v>1</v>
      </c>
      <c r="B2" s="27"/>
      <c r="C2" s="27"/>
      <c r="D2" s="27"/>
      <c r="E2" s="27"/>
      <c r="F2" s="27"/>
      <c r="G2" s="27"/>
      <c r="H2" s="27"/>
      <c r="I2" s="27"/>
      <c r="J2" s="27"/>
    </row>
    <row r="3" spans="1:10" ht="8.1" customHeight="1" x14ac:dyDescent="0.25"/>
    <row r="4" spans="1:10" ht="24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2" t="s">
        <v>7</v>
      </c>
      <c r="G4" s="3" t="s">
        <v>8</v>
      </c>
      <c r="H4" s="4" t="s">
        <v>9</v>
      </c>
      <c r="I4" s="1" t="s">
        <v>10</v>
      </c>
      <c r="J4" s="1" t="s">
        <v>11</v>
      </c>
    </row>
    <row r="5" spans="1:10" ht="32.1" customHeight="1" x14ac:dyDescent="0.25">
      <c r="A5" s="5" t="s">
        <v>12</v>
      </c>
      <c r="B5" s="6" t="s">
        <v>13</v>
      </c>
      <c r="C5" s="7" t="s">
        <v>14</v>
      </c>
      <c r="D5" s="7" t="s">
        <v>15</v>
      </c>
      <c r="E5" s="8" t="s">
        <v>16</v>
      </c>
      <c r="F5" s="9">
        <v>1</v>
      </c>
      <c r="G5" s="9">
        <v>3</v>
      </c>
      <c r="H5" s="9">
        <v>3</v>
      </c>
      <c r="I5" s="9">
        <f>F5+G5+H5</f>
        <v>7</v>
      </c>
      <c r="J5" s="6" t="s">
        <v>17</v>
      </c>
    </row>
    <row r="6" spans="1:10" ht="32.1" customHeight="1" x14ac:dyDescent="0.25">
      <c r="A6" s="5" t="s">
        <v>12</v>
      </c>
      <c r="B6" s="6" t="s">
        <v>13</v>
      </c>
      <c r="C6" s="7" t="s">
        <v>14</v>
      </c>
      <c r="D6" s="7" t="s">
        <v>15</v>
      </c>
      <c r="E6" s="8" t="s">
        <v>18</v>
      </c>
      <c r="F6" s="9">
        <v>2</v>
      </c>
      <c r="G6" s="9">
        <v>-1</v>
      </c>
      <c r="H6" s="9">
        <v>1</v>
      </c>
      <c r="I6" s="9">
        <f>F6+G6+H6</f>
        <v>2</v>
      </c>
      <c r="J6" s="6" t="s">
        <v>19</v>
      </c>
    </row>
    <row r="7" spans="1:10" ht="32.1" customHeight="1" x14ac:dyDescent="0.25">
      <c r="A7" s="5" t="s">
        <v>12</v>
      </c>
      <c r="B7" s="6" t="s">
        <v>13</v>
      </c>
      <c r="C7" s="7" t="s">
        <v>14</v>
      </c>
      <c r="D7" s="7" t="s">
        <v>15</v>
      </c>
      <c r="E7" s="8" t="s">
        <v>20</v>
      </c>
      <c r="F7" s="9">
        <v>2</v>
      </c>
      <c r="G7" s="9">
        <v>1</v>
      </c>
      <c r="H7" s="9">
        <v>2</v>
      </c>
      <c r="I7" s="9">
        <f>F7+G7+H7</f>
        <v>5</v>
      </c>
      <c r="J7" s="6" t="s">
        <v>21</v>
      </c>
    </row>
    <row r="8" spans="1:10" ht="32.1" customHeight="1" x14ac:dyDescent="0.25">
      <c r="A8" s="5" t="s">
        <v>12</v>
      </c>
      <c r="B8" s="6" t="s">
        <v>13</v>
      </c>
      <c r="C8" s="7" t="s">
        <v>14</v>
      </c>
      <c r="D8" s="7" t="s">
        <v>15</v>
      </c>
      <c r="E8" s="8" t="s">
        <v>22</v>
      </c>
      <c r="F8" s="9">
        <v>1</v>
      </c>
      <c r="G8" s="9">
        <v>2</v>
      </c>
      <c r="H8" s="9">
        <v>-1</v>
      </c>
      <c r="I8" s="9">
        <f>F8+G8+H8</f>
        <v>2</v>
      </c>
      <c r="J8" s="6" t="s">
        <v>23</v>
      </c>
    </row>
    <row r="10" spans="1:10" ht="32.1" customHeight="1" x14ac:dyDescent="0.25">
      <c r="A10" s="10" t="s">
        <v>24</v>
      </c>
      <c r="B10" s="11" t="s">
        <v>25</v>
      </c>
      <c r="C10" s="12" t="s">
        <v>26</v>
      </c>
      <c r="D10" s="12" t="s">
        <v>27</v>
      </c>
      <c r="E10" s="13" t="s">
        <v>16</v>
      </c>
      <c r="F10" s="14">
        <v>1</v>
      </c>
      <c r="G10" s="14">
        <v>3</v>
      </c>
      <c r="H10" s="14">
        <v>2</v>
      </c>
      <c r="I10" s="14">
        <f>F10+G10+H10</f>
        <v>6</v>
      </c>
      <c r="J10" s="11" t="s">
        <v>28</v>
      </c>
    </row>
    <row r="11" spans="1:10" ht="32.1" customHeight="1" x14ac:dyDescent="0.25">
      <c r="A11" s="10" t="s">
        <v>24</v>
      </c>
      <c r="B11" s="11" t="s">
        <v>25</v>
      </c>
      <c r="C11" s="12" t="s">
        <v>26</v>
      </c>
      <c r="D11" s="12" t="s">
        <v>27</v>
      </c>
      <c r="E11" s="13" t="s">
        <v>18</v>
      </c>
      <c r="F11" s="14">
        <v>0</v>
      </c>
      <c r="G11" s="14">
        <v>-2</v>
      </c>
      <c r="H11" s="14">
        <v>-1</v>
      </c>
      <c r="I11" s="14">
        <f>F11+G11+H11</f>
        <v>-3</v>
      </c>
      <c r="J11" s="11" t="s">
        <v>29</v>
      </c>
    </row>
    <row r="12" spans="1:10" ht="32.1" customHeight="1" x14ac:dyDescent="0.25">
      <c r="A12" s="10" t="s">
        <v>24</v>
      </c>
      <c r="B12" s="11" t="s">
        <v>25</v>
      </c>
      <c r="C12" s="12" t="s">
        <v>26</v>
      </c>
      <c r="D12" s="12" t="s">
        <v>27</v>
      </c>
      <c r="E12" s="13" t="s">
        <v>20</v>
      </c>
      <c r="F12" s="14">
        <v>-1</v>
      </c>
      <c r="G12" s="14">
        <v>1</v>
      </c>
      <c r="H12" s="14">
        <v>0</v>
      </c>
      <c r="I12" s="14">
        <f>F12+G12+H12</f>
        <v>0</v>
      </c>
      <c r="J12" s="11" t="s">
        <v>30</v>
      </c>
    </row>
    <row r="13" spans="1:10" ht="21.95" customHeight="1" x14ac:dyDescent="0.25">
      <c r="A13" s="28" t="s">
        <v>31</v>
      </c>
      <c r="B13" s="29"/>
      <c r="C13" s="29"/>
      <c r="D13" s="29"/>
      <c r="E13" s="29"/>
      <c r="F13" s="29"/>
      <c r="G13" s="29"/>
      <c r="H13" s="29"/>
      <c r="I13" s="29"/>
      <c r="J13" s="30"/>
    </row>
    <row r="15" spans="1:10" ht="27.95" customHeight="1" x14ac:dyDescent="0.25">
      <c r="A15" s="26" t="s">
        <v>125</v>
      </c>
      <c r="B15" s="27"/>
      <c r="C15" s="27"/>
      <c r="D15" s="27"/>
      <c r="E15" s="27"/>
    </row>
    <row r="16" spans="1:10" ht="20.100000000000001" customHeight="1" x14ac:dyDescent="0.25">
      <c r="A16" s="33" t="s">
        <v>50</v>
      </c>
      <c r="B16" s="27"/>
      <c r="C16" s="27"/>
      <c r="D16" s="27"/>
      <c r="E16" s="27"/>
    </row>
    <row r="17" spans="1:10" ht="48" customHeight="1" x14ac:dyDescent="0.25">
      <c r="A17" s="35" t="s">
        <v>51</v>
      </c>
      <c r="B17" s="27"/>
      <c r="C17" s="27"/>
      <c r="D17" s="27"/>
      <c r="E17" s="27"/>
    </row>
    <row r="18" spans="1:10" ht="8.1" customHeight="1" x14ac:dyDescent="0.25"/>
    <row r="19" spans="1:10" ht="24" customHeight="1" x14ac:dyDescent="0.25">
      <c r="A19" s="1" t="s">
        <v>52</v>
      </c>
      <c r="B19" s="1" t="s">
        <v>6</v>
      </c>
      <c r="C19" s="1" t="s">
        <v>53</v>
      </c>
      <c r="D19" s="1" t="s">
        <v>54</v>
      </c>
      <c r="E19" s="1" t="s">
        <v>55</v>
      </c>
    </row>
    <row r="20" spans="1:10" ht="48" customHeight="1" x14ac:dyDescent="0.25">
      <c r="A20" s="20">
        <v>1</v>
      </c>
      <c r="B20" s="21" t="s">
        <v>22</v>
      </c>
      <c r="C20" s="6" t="s">
        <v>56</v>
      </c>
      <c r="D20" s="6" t="s">
        <v>57</v>
      </c>
      <c r="E20" s="6" t="s">
        <v>58</v>
      </c>
    </row>
    <row r="21" spans="1:10" ht="48" customHeight="1" x14ac:dyDescent="0.25">
      <c r="A21" s="22">
        <v>2</v>
      </c>
      <c r="B21" s="23" t="s">
        <v>16</v>
      </c>
      <c r="C21" s="11" t="s">
        <v>59</v>
      </c>
      <c r="D21" s="11" t="s">
        <v>60</v>
      </c>
      <c r="E21" s="11" t="s">
        <v>61</v>
      </c>
    </row>
    <row r="22" spans="1:10" ht="48" customHeight="1" x14ac:dyDescent="0.25">
      <c r="A22" s="24">
        <v>3</v>
      </c>
      <c r="B22" s="21" t="s">
        <v>20</v>
      </c>
      <c r="C22" s="6" t="s">
        <v>62</v>
      </c>
      <c r="D22" s="6" t="s">
        <v>63</v>
      </c>
      <c r="E22" s="6" t="s">
        <v>64</v>
      </c>
    </row>
    <row r="23" spans="1:10" ht="48" customHeight="1" x14ac:dyDescent="0.25">
      <c r="A23" s="25">
        <v>4</v>
      </c>
      <c r="B23" s="23" t="s">
        <v>18</v>
      </c>
      <c r="C23" s="11" t="s">
        <v>65</v>
      </c>
      <c r="D23" s="11" t="s">
        <v>66</v>
      </c>
      <c r="E23" s="11" t="s">
        <v>67</v>
      </c>
    </row>
    <row r="25" spans="1:10" ht="32.1" customHeight="1" x14ac:dyDescent="0.25">
      <c r="A25" s="34" t="s">
        <v>68</v>
      </c>
      <c r="B25" s="29"/>
      <c r="C25" s="29"/>
      <c r="D25" s="29"/>
      <c r="E25" s="30"/>
    </row>
    <row r="29" spans="1:10" ht="32.1" customHeight="1" x14ac:dyDescent="0.25">
      <c r="A29" s="5" t="s">
        <v>32</v>
      </c>
      <c r="B29" s="6" t="s">
        <v>33</v>
      </c>
      <c r="C29" s="7" t="s">
        <v>34</v>
      </c>
      <c r="D29" s="7" t="s">
        <v>35</v>
      </c>
      <c r="E29" s="8" t="s">
        <v>16</v>
      </c>
      <c r="F29" s="9">
        <v>1</v>
      </c>
      <c r="G29" s="9">
        <v>-1</v>
      </c>
      <c r="H29" s="9">
        <v>-1</v>
      </c>
      <c r="I29" s="9">
        <f>F29+G29+H29</f>
        <v>-1</v>
      </c>
      <c r="J29" s="6" t="s">
        <v>36</v>
      </c>
    </row>
    <row r="30" spans="1:10" ht="32.1" customHeight="1" x14ac:dyDescent="0.25">
      <c r="A30" s="5" t="s">
        <v>32</v>
      </c>
      <c r="B30" s="6" t="s">
        <v>33</v>
      </c>
      <c r="C30" s="7" t="s">
        <v>34</v>
      </c>
      <c r="D30" s="7" t="s">
        <v>35</v>
      </c>
      <c r="E30" s="8" t="s">
        <v>18</v>
      </c>
      <c r="F30" s="9">
        <v>2</v>
      </c>
      <c r="G30" s="9">
        <v>3</v>
      </c>
      <c r="H30" s="9">
        <v>3</v>
      </c>
      <c r="I30" s="9">
        <f>F30+G30+H30</f>
        <v>8</v>
      </c>
      <c r="J30" s="6" t="s">
        <v>37</v>
      </c>
    </row>
    <row r="31" spans="1:10" ht="32.1" customHeight="1" x14ac:dyDescent="0.25">
      <c r="A31" s="5" t="s">
        <v>32</v>
      </c>
      <c r="B31" s="6" t="s">
        <v>33</v>
      </c>
      <c r="C31" s="7" t="s">
        <v>34</v>
      </c>
      <c r="D31" s="7" t="s">
        <v>35</v>
      </c>
      <c r="E31" s="8" t="s">
        <v>20</v>
      </c>
      <c r="F31" s="9">
        <v>-2</v>
      </c>
      <c r="G31" s="9">
        <v>-1</v>
      </c>
      <c r="H31" s="9">
        <v>-1</v>
      </c>
      <c r="I31" s="9">
        <f>F31+G31+H31</f>
        <v>-4</v>
      </c>
      <c r="J31" s="6" t="s">
        <v>38</v>
      </c>
    </row>
    <row r="32" spans="1:10" ht="21.95" customHeight="1" x14ac:dyDescent="0.25">
      <c r="A32" s="28" t="s">
        <v>31</v>
      </c>
      <c r="B32" s="29"/>
      <c r="C32" s="29"/>
      <c r="D32" s="29"/>
      <c r="E32" s="29"/>
      <c r="F32" s="29"/>
      <c r="G32" s="29"/>
      <c r="H32" s="29"/>
      <c r="I32" s="29"/>
      <c r="J32" s="30"/>
    </row>
    <row r="34" spans="1:10" ht="46.5" x14ac:dyDescent="0.25">
      <c r="A34" s="37" t="s">
        <v>126</v>
      </c>
    </row>
    <row r="35" spans="1:10" ht="32.1" customHeight="1" x14ac:dyDescent="0.25">
      <c r="A35" s="15" t="s">
        <v>39</v>
      </c>
      <c r="B35" s="16" t="s">
        <v>40</v>
      </c>
      <c r="C35" s="17" t="s">
        <v>41</v>
      </c>
      <c r="D35" s="17" t="s">
        <v>42</v>
      </c>
      <c r="E35" s="18" t="s">
        <v>16</v>
      </c>
      <c r="F35" s="19"/>
      <c r="G35" s="19"/>
      <c r="H35" s="19"/>
      <c r="I35" s="19"/>
      <c r="J35" s="16" t="s">
        <v>43</v>
      </c>
    </row>
    <row r="36" spans="1:10" ht="32.1" customHeight="1" x14ac:dyDescent="0.25">
      <c r="A36" s="15" t="s">
        <v>39</v>
      </c>
      <c r="B36" s="16" t="s">
        <v>40</v>
      </c>
      <c r="C36" s="17" t="s">
        <v>41</v>
      </c>
      <c r="D36" s="17" t="s">
        <v>42</v>
      </c>
      <c r="E36" s="18" t="s">
        <v>18</v>
      </c>
      <c r="F36" s="19"/>
      <c r="G36" s="19"/>
      <c r="H36" s="19"/>
      <c r="I36" s="19"/>
      <c r="J36" s="16" t="s">
        <v>44</v>
      </c>
    </row>
    <row r="37" spans="1:10" ht="32.1" customHeight="1" x14ac:dyDescent="0.25">
      <c r="A37" s="15" t="s">
        <v>39</v>
      </c>
      <c r="B37" s="16" t="s">
        <v>40</v>
      </c>
      <c r="C37" s="17" t="s">
        <v>41</v>
      </c>
      <c r="D37" s="17" t="s">
        <v>42</v>
      </c>
      <c r="E37" s="18" t="s">
        <v>20</v>
      </c>
      <c r="F37" s="19"/>
      <c r="G37" s="19"/>
      <c r="H37" s="19"/>
      <c r="I37" s="19"/>
      <c r="J37" s="16" t="s">
        <v>45</v>
      </c>
    </row>
    <row r="38" spans="1:10" ht="32.1" customHeight="1" x14ac:dyDescent="0.25">
      <c r="A38" s="15" t="s">
        <v>39</v>
      </c>
      <c r="B38" s="16" t="s">
        <v>40</v>
      </c>
      <c r="C38" s="17" t="s">
        <v>41</v>
      </c>
      <c r="D38" s="17" t="s">
        <v>42</v>
      </c>
      <c r="E38" s="18" t="s">
        <v>22</v>
      </c>
      <c r="F38" s="19"/>
      <c r="G38" s="19"/>
      <c r="H38" s="19"/>
      <c r="I38" s="19"/>
      <c r="J38" s="16" t="s">
        <v>46</v>
      </c>
    </row>
    <row r="39" spans="1:10" ht="21.95" customHeight="1" x14ac:dyDescent="0.25">
      <c r="A39" s="28" t="s">
        <v>47</v>
      </c>
      <c r="B39" s="29"/>
      <c r="C39" s="29"/>
      <c r="D39" s="29"/>
      <c r="E39" s="29"/>
      <c r="F39" s="29"/>
      <c r="G39" s="29"/>
      <c r="H39" s="29"/>
      <c r="I39" s="29"/>
      <c r="J39" s="30"/>
    </row>
    <row r="42" spans="1:10" ht="32.1" customHeight="1" x14ac:dyDescent="0.25">
      <c r="A42" s="31" t="s">
        <v>48</v>
      </c>
      <c r="B42" s="27"/>
      <c r="C42" s="27"/>
      <c r="D42" s="27"/>
      <c r="E42" s="27"/>
      <c r="F42" s="27"/>
      <c r="G42" s="27"/>
      <c r="H42" s="27"/>
      <c r="I42" s="27"/>
      <c r="J42" s="27"/>
    </row>
  </sheetData>
  <mergeCells count="10">
    <mergeCell ref="A1:J1"/>
    <mergeCell ref="A32:J32"/>
    <mergeCell ref="A42:J42"/>
    <mergeCell ref="A39:J39"/>
    <mergeCell ref="A2:J2"/>
    <mergeCell ref="A13:J13"/>
    <mergeCell ref="A15:E15"/>
    <mergeCell ref="A16:E16"/>
    <mergeCell ref="A17:E17"/>
    <mergeCell ref="A25:E25"/>
  </mergeCells>
  <conditionalFormatting sqref="F5:I8">
    <cfRule type="cellIs" dxfId="8" priority="4" operator="greaterThan">
      <formula>0</formula>
    </cfRule>
    <cfRule type="cellIs" dxfId="7" priority="5" operator="lessThan">
      <formula>0</formula>
    </cfRule>
  </conditionalFormatting>
  <conditionalFormatting sqref="F10:I12">
    <cfRule type="cellIs" dxfId="6" priority="6" operator="greaterThan">
      <formula>0</formula>
    </cfRule>
    <cfRule type="cellIs" dxfId="5" priority="7" operator="lessThan">
      <formula>0</formula>
    </cfRule>
  </conditionalFormatting>
  <conditionalFormatting sqref="F29:I31">
    <cfRule type="cellIs" dxfId="4" priority="8" operator="greaterThan">
      <formula>0</formula>
    </cfRule>
    <cfRule type="cellIs" dxfId="3" priority="9" operator="lessThan">
      <formula>0</formula>
    </cfRule>
  </conditionalFormatting>
  <conditionalFormatting sqref="I5:I8">
    <cfRule type="expression" dxfId="2" priority="1">
      <formula>AND(I5&lt;&gt;"",I5=MAX($I$5:$I$8))</formula>
    </cfRule>
  </conditionalFormatting>
  <conditionalFormatting sqref="I10:I12">
    <cfRule type="expression" dxfId="1" priority="2">
      <formula>AND(I10&lt;&gt;"",I10=MAX($I$10:$I$12))</formula>
    </cfRule>
  </conditionalFormatting>
  <conditionalFormatting sqref="I29:I31">
    <cfRule type="expression" dxfId="0" priority="3">
      <formula>AND(I29&lt;&gt;"",I29=MAX($I$29:$I$31))</formula>
    </cfRule>
  </conditionalFormatting>
  <pageMargins left="0.4" right="0.4" top="0.5" bottom="0.5" header="0.5" footer="0.5"/>
  <pageSetup paperSize="3" orientation="landscape"/>
  <headerFooter>
    <oddHeader>&amp;LAllegis AI Simulation</oddHeader>
    <oddFooter>&amp;LScoring key from Allegis Simulation Framework_For Digital&amp;RPage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6F6A"/>
    <pageSetUpPr fitToPage="1"/>
  </sheetPr>
  <dimension ref="A1:E11"/>
  <sheetViews>
    <sheetView showGridLines="0" zoomScale="110" workbookViewId="0">
      <pane ySplit="5" topLeftCell="A6" activePane="bottomLeft" state="frozen"/>
      <selection pane="bottomLeft" sqref="A1:XFD11"/>
    </sheetView>
  </sheetViews>
  <sheetFormatPr defaultRowHeight="15" x14ac:dyDescent="0.25"/>
  <cols>
    <col min="1" max="2" width="12" customWidth="1"/>
    <col min="3" max="4" width="62" customWidth="1"/>
    <col min="5" max="5" width="55" customWidth="1"/>
  </cols>
  <sheetData>
    <row r="1" spans="1:5" ht="27.95" customHeight="1" x14ac:dyDescent="0.25">
      <c r="A1" s="26" t="s">
        <v>49</v>
      </c>
      <c r="B1" s="27"/>
      <c r="C1" s="27"/>
      <c r="D1" s="27"/>
      <c r="E1" s="27"/>
    </row>
    <row r="2" spans="1:5" ht="20.100000000000001" customHeight="1" x14ac:dyDescent="0.25">
      <c r="A2" s="33" t="s">
        <v>50</v>
      </c>
      <c r="B2" s="27"/>
      <c r="C2" s="27"/>
      <c r="D2" s="27"/>
      <c r="E2" s="27"/>
    </row>
    <row r="3" spans="1:5" ht="48" customHeight="1" x14ac:dyDescent="0.25">
      <c r="A3" s="35" t="s">
        <v>51</v>
      </c>
      <c r="B3" s="27"/>
      <c r="C3" s="27"/>
      <c r="D3" s="27"/>
      <c r="E3" s="27"/>
    </row>
    <row r="4" spans="1:5" ht="8.1" customHeight="1" x14ac:dyDescent="0.25"/>
    <row r="5" spans="1:5" ht="24" customHeight="1" x14ac:dyDescent="0.25">
      <c r="A5" s="1" t="s">
        <v>52</v>
      </c>
      <c r="B5" s="1" t="s">
        <v>6</v>
      </c>
      <c r="C5" s="1" t="s">
        <v>53</v>
      </c>
      <c r="D5" s="1" t="s">
        <v>54</v>
      </c>
      <c r="E5" s="1" t="s">
        <v>55</v>
      </c>
    </row>
    <row r="6" spans="1:5" ht="48" customHeight="1" x14ac:dyDescent="0.25">
      <c r="A6" s="20">
        <v>1</v>
      </c>
      <c r="B6" s="21" t="s">
        <v>22</v>
      </c>
      <c r="C6" s="6" t="s">
        <v>56</v>
      </c>
      <c r="D6" s="6" t="s">
        <v>57</v>
      </c>
      <c r="E6" s="6" t="s">
        <v>58</v>
      </c>
    </row>
    <row r="7" spans="1:5" ht="48" customHeight="1" x14ac:dyDescent="0.25">
      <c r="A7" s="22">
        <v>2</v>
      </c>
      <c r="B7" s="23" t="s">
        <v>16</v>
      </c>
      <c r="C7" s="11" t="s">
        <v>59</v>
      </c>
      <c r="D7" s="11" t="s">
        <v>60</v>
      </c>
      <c r="E7" s="11" t="s">
        <v>61</v>
      </c>
    </row>
    <row r="8" spans="1:5" ht="48" customHeight="1" x14ac:dyDescent="0.25">
      <c r="A8" s="24">
        <v>3</v>
      </c>
      <c r="B8" s="21" t="s">
        <v>20</v>
      </c>
      <c r="C8" s="6" t="s">
        <v>62</v>
      </c>
      <c r="D8" s="6" t="s">
        <v>63</v>
      </c>
      <c r="E8" s="6" t="s">
        <v>64</v>
      </c>
    </row>
    <row r="9" spans="1:5" ht="48" customHeight="1" x14ac:dyDescent="0.25">
      <c r="A9" s="25">
        <v>4</v>
      </c>
      <c r="B9" s="23" t="s">
        <v>18</v>
      </c>
      <c r="C9" s="11" t="s">
        <v>65</v>
      </c>
      <c r="D9" s="11" t="s">
        <v>66</v>
      </c>
      <c r="E9" s="11" t="s">
        <v>67</v>
      </c>
    </row>
    <row r="11" spans="1:5" ht="32.1" customHeight="1" x14ac:dyDescent="0.25">
      <c r="A11" s="34" t="s">
        <v>68</v>
      </c>
      <c r="B11" s="29"/>
      <c r="C11" s="29"/>
      <c r="D11" s="29"/>
      <c r="E11" s="30"/>
    </row>
  </sheetData>
  <mergeCells count="4">
    <mergeCell ref="A2:E2"/>
    <mergeCell ref="A11:E11"/>
    <mergeCell ref="A1:E1"/>
    <mergeCell ref="A3:E3"/>
  </mergeCells>
  <pageMargins left="0.5" right="0.5" top="0.5" bottom="0.5" header="0.5" footer="0.5"/>
  <pageSetup paperSize="3" orientation="landscape"/>
  <headerFooter>
    <oddFooter>&amp;LAllegis AI Simulation — Wobbler ranking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4A35A"/>
    <pageSetUpPr fitToPage="1"/>
  </sheetPr>
  <dimension ref="A1:G51"/>
  <sheetViews>
    <sheetView showGridLines="0" zoomScale="110" workbookViewId="0">
      <pane ySplit="4" topLeftCell="A5" activePane="bottomLeft" state="frozen"/>
      <selection pane="bottomLeft"/>
    </sheetView>
  </sheetViews>
  <sheetFormatPr defaultRowHeight="15" x14ac:dyDescent="0.25"/>
  <cols>
    <col min="1" max="1" width="28" customWidth="1"/>
    <col min="2" max="2" width="24" customWidth="1"/>
    <col min="3" max="3" width="12" customWidth="1"/>
    <col min="4" max="4" width="32" customWidth="1"/>
    <col min="5" max="5" width="12" customWidth="1"/>
    <col min="6" max="6" width="18" customWidth="1"/>
    <col min="7" max="7" width="62" customWidth="1"/>
  </cols>
  <sheetData>
    <row r="1" spans="1:7" ht="27.95" customHeight="1" x14ac:dyDescent="0.4">
      <c r="A1" s="36" t="s">
        <v>69</v>
      </c>
      <c r="B1" s="27"/>
      <c r="C1" s="27"/>
      <c r="D1" s="27"/>
      <c r="E1" s="27"/>
      <c r="F1" s="27"/>
      <c r="G1" s="27"/>
    </row>
    <row r="2" spans="1:7" ht="32.1" customHeight="1" x14ac:dyDescent="0.25">
      <c r="A2" s="32" t="s">
        <v>70</v>
      </c>
      <c r="B2" s="27"/>
      <c r="C2" s="27"/>
      <c r="D2" s="27"/>
      <c r="E2" s="27"/>
      <c r="F2" s="27"/>
      <c r="G2" s="27"/>
    </row>
    <row r="3" spans="1:7" ht="8.1" customHeight="1" x14ac:dyDescent="0.25"/>
    <row r="4" spans="1:7" ht="24" customHeight="1" x14ac:dyDescent="0.25">
      <c r="A4" s="1" t="s">
        <v>71</v>
      </c>
      <c r="B4" s="1" t="s">
        <v>2</v>
      </c>
      <c r="C4" s="1" t="s">
        <v>6</v>
      </c>
      <c r="D4" s="1" t="s">
        <v>72</v>
      </c>
      <c r="E4" s="1" t="s">
        <v>73</v>
      </c>
      <c r="F4" s="1" t="s">
        <v>74</v>
      </c>
      <c r="G4" s="1" t="s">
        <v>75</v>
      </c>
    </row>
    <row r="5" spans="1:7" ht="20.100000000000001" customHeight="1" x14ac:dyDescent="0.25">
      <c r="A5" s="10" t="s">
        <v>76</v>
      </c>
      <c r="B5" s="11" t="s">
        <v>12</v>
      </c>
      <c r="C5" s="12" t="s">
        <v>16</v>
      </c>
      <c r="D5" s="11" t="s">
        <v>77</v>
      </c>
      <c r="E5" s="14">
        <v>1</v>
      </c>
      <c r="F5" s="12" t="s">
        <v>78</v>
      </c>
      <c r="G5" s="11"/>
    </row>
    <row r="6" spans="1:7" ht="20.100000000000001" customHeight="1" x14ac:dyDescent="0.25">
      <c r="A6" s="10" t="s">
        <v>79</v>
      </c>
      <c r="B6" s="11" t="s">
        <v>12</v>
      </c>
      <c r="C6" s="12" t="s">
        <v>16</v>
      </c>
      <c r="D6" s="11" t="s">
        <v>80</v>
      </c>
      <c r="E6" s="14">
        <v>3</v>
      </c>
      <c r="F6" s="12" t="s">
        <v>78</v>
      </c>
      <c r="G6" s="11"/>
    </row>
    <row r="7" spans="1:7" ht="20.100000000000001" customHeight="1" x14ac:dyDescent="0.25">
      <c r="A7" s="10" t="s">
        <v>81</v>
      </c>
      <c r="B7" s="11" t="s">
        <v>12</v>
      </c>
      <c r="C7" s="12" t="s">
        <v>16</v>
      </c>
      <c r="D7" s="11" t="s">
        <v>82</v>
      </c>
      <c r="E7" s="14">
        <v>3</v>
      </c>
      <c r="F7" s="12" t="s">
        <v>78</v>
      </c>
      <c r="G7" s="11"/>
    </row>
    <row r="8" spans="1:7" ht="20.100000000000001" customHeight="1" x14ac:dyDescent="0.25">
      <c r="A8" s="10" t="s">
        <v>83</v>
      </c>
      <c r="B8" s="11" t="s">
        <v>12</v>
      </c>
      <c r="C8" s="12" t="s">
        <v>18</v>
      </c>
      <c r="D8" s="11" t="s">
        <v>77</v>
      </c>
      <c r="E8" s="14">
        <v>2</v>
      </c>
      <c r="F8" s="12" t="s">
        <v>78</v>
      </c>
      <c r="G8" s="11"/>
    </row>
    <row r="9" spans="1:7" ht="20.100000000000001" customHeight="1" x14ac:dyDescent="0.25">
      <c r="A9" s="10" t="s">
        <v>84</v>
      </c>
      <c r="B9" s="11" t="s">
        <v>12</v>
      </c>
      <c r="C9" s="12" t="s">
        <v>18</v>
      </c>
      <c r="D9" s="11" t="s">
        <v>80</v>
      </c>
      <c r="E9" s="14">
        <v>-1</v>
      </c>
      <c r="F9" s="12" t="s">
        <v>78</v>
      </c>
      <c r="G9" s="11"/>
    </row>
    <row r="10" spans="1:7" ht="20.100000000000001" customHeight="1" x14ac:dyDescent="0.25">
      <c r="A10" s="10" t="s">
        <v>85</v>
      </c>
      <c r="B10" s="11" t="s">
        <v>12</v>
      </c>
      <c r="C10" s="12" t="s">
        <v>18</v>
      </c>
      <c r="D10" s="11" t="s">
        <v>82</v>
      </c>
      <c r="E10" s="14">
        <v>1</v>
      </c>
      <c r="F10" s="12" t="s">
        <v>78</v>
      </c>
      <c r="G10" s="11"/>
    </row>
    <row r="11" spans="1:7" ht="20.100000000000001" customHeight="1" x14ac:dyDescent="0.25">
      <c r="A11" s="10" t="s">
        <v>86</v>
      </c>
      <c r="B11" s="11" t="s">
        <v>12</v>
      </c>
      <c r="C11" s="12" t="s">
        <v>20</v>
      </c>
      <c r="D11" s="11" t="s">
        <v>77</v>
      </c>
      <c r="E11" s="14">
        <v>2</v>
      </c>
      <c r="F11" s="12" t="s">
        <v>78</v>
      </c>
      <c r="G11" s="11"/>
    </row>
    <row r="12" spans="1:7" ht="20.100000000000001" customHeight="1" x14ac:dyDescent="0.25">
      <c r="A12" s="10" t="s">
        <v>87</v>
      </c>
      <c r="B12" s="11" t="s">
        <v>12</v>
      </c>
      <c r="C12" s="12" t="s">
        <v>20</v>
      </c>
      <c r="D12" s="11" t="s">
        <v>80</v>
      </c>
      <c r="E12" s="14">
        <v>1</v>
      </c>
      <c r="F12" s="12" t="s">
        <v>78</v>
      </c>
      <c r="G12" s="11"/>
    </row>
    <row r="13" spans="1:7" ht="20.100000000000001" customHeight="1" x14ac:dyDescent="0.25">
      <c r="A13" s="10" t="s">
        <v>88</v>
      </c>
      <c r="B13" s="11" t="s">
        <v>12</v>
      </c>
      <c r="C13" s="12" t="s">
        <v>20</v>
      </c>
      <c r="D13" s="11" t="s">
        <v>82</v>
      </c>
      <c r="E13" s="14">
        <v>2</v>
      </c>
      <c r="F13" s="12" t="s">
        <v>78</v>
      </c>
      <c r="G13" s="11"/>
    </row>
    <row r="14" spans="1:7" ht="20.100000000000001" customHeight="1" x14ac:dyDescent="0.25">
      <c r="A14" s="10" t="s">
        <v>89</v>
      </c>
      <c r="B14" s="11" t="s">
        <v>12</v>
      </c>
      <c r="C14" s="12" t="s">
        <v>22</v>
      </c>
      <c r="D14" s="11" t="s">
        <v>77</v>
      </c>
      <c r="E14" s="14">
        <v>1</v>
      </c>
      <c r="F14" s="12" t="s">
        <v>78</v>
      </c>
      <c r="G14" s="11"/>
    </row>
    <row r="15" spans="1:7" ht="20.100000000000001" customHeight="1" x14ac:dyDescent="0.25">
      <c r="A15" s="10" t="s">
        <v>90</v>
      </c>
      <c r="B15" s="11" t="s">
        <v>12</v>
      </c>
      <c r="C15" s="12" t="s">
        <v>22</v>
      </c>
      <c r="D15" s="11" t="s">
        <v>80</v>
      </c>
      <c r="E15" s="14">
        <v>2</v>
      </c>
      <c r="F15" s="12" t="s">
        <v>78</v>
      </c>
      <c r="G15" s="11"/>
    </row>
    <row r="16" spans="1:7" ht="20.100000000000001" customHeight="1" x14ac:dyDescent="0.25">
      <c r="A16" s="10" t="s">
        <v>91</v>
      </c>
      <c r="B16" s="11" t="s">
        <v>12</v>
      </c>
      <c r="C16" s="12" t="s">
        <v>22</v>
      </c>
      <c r="D16" s="11" t="s">
        <v>82</v>
      </c>
      <c r="E16" s="14">
        <v>-1</v>
      </c>
      <c r="F16" s="12" t="s">
        <v>78</v>
      </c>
      <c r="G16" s="11"/>
    </row>
    <row r="17" spans="1:7" ht="20.100000000000001" customHeight="1" x14ac:dyDescent="0.25">
      <c r="A17" s="10" t="s">
        <v>92</v>
      </c>
      <c r="B17" s="11" t="s">
        <v>24</v>
      </c>
      <c r="C17" s="12" t="s">
        <v>16</v>
      </c>
      <c r="D17" s="11" t="s">
        <v>77</v>
      </c>
      <c r="E17" s="14">
        <v>1</v>
      </c>
      <c r="F17" s="12" t="s">
        <v>78</v>
      </c>
      <c r="G17" s="11"/>
    </row>
    <row r="18" spans="1:7" ht="20.100000000000001" customHeight="1" x14ac:dyDescent="0.25">
      <c r="A18" s="10" t="s">
        <v>93</v>
      </c>
      <c r="B18" s="11" t="s">
        <v>24</v>
      </c>
      <c r="C18" s="12" t="s">
        <v>16</v>
      </c>
      <c r="D18" s="11" t="s">
        <v>80</v>
      </c>
      <c r="E18" s="14">
        <v>3</v>
      </c>
      <c r="F18" s="12" t="s">
        <v>78</v>
      </c>
      <c r="G18" s="11"/>
    </row>
    <row r="19" spans="1:7" ht="20.100000000000001" customHeight="1" x14ac:dyDescent="0.25">
      <c r="A19" s="10" t="s">
        <v>94</v>
      </c>
      <c r="B19" s="11" t="s">
        <v>24</v>
      </c>
      <c r="C19" s="12" t="s">
        <v>16</v>
      </c>
      <c r="D19" s="11" t="s">
        <v>82</v>
      </c>
      <c r="E19" s="14">
        <v>2</v>
      </c>
      <c r="F19" s="12" t="s">
        <v>78</v>
      </c>
      <c r="G19" s="11"/>
    </row>
    <row r="20" spans="1:7" ht="20.100000000000001" customHeight="1" x14ac:dyDescent="0.25">
      <c r="A20" s="10" t="s">
        <v>95</v>
      </c>
      <c r="B20" s="11" t="s">
        <v>24</v>
      </c>
      <c r="C20" s="12" t="s">
        <v>18</v>
      </c>
      <c r="D20" s="11" t="s">
        <v>77</v>
      </c>
      <c r="E20" s="14">
        <v>0</v>
      </c>
      <c r="F20" s="12" t="s">
        <v>78</v>
      </c>
      <c r="G20" s="11"/>
    </row>
    <row r="21" spans="1:7" ht="20.100000000000001" customHeight="1" x14ac:dyDescent="0.25">
      <c r="A21" s="10" t="s">
        <v>96</v>
      </c>
      <c r="B21" s="11" t="s">
        <v>24</v>
      </c>
      <c r="C21" s="12" t="s">
        <v>18</v>
      </c>
      <c r="D21" s="11" t="s">
        <v>80</v>
      </c>
      <c r="E21" s="14">
        <v>-2</v>
      </c>
      <c r="F21" s="12" t="s">
        <v>78</v>
      </c>
      <c r="G21" s="11"/>
    </row>
    <row r="22" spans="1:7" ht="20.100000000000001" customHeight="1" x14ac:dyDescent="0.25">
      <c r="A22" s="10" t="s">
        <v>97</v>
      </c>
      <c r="B22" s="11" t="s">
        <v>24</v>
      </c>
      <c r="C22" s="12" t="s">
        <v>18</v>
      </c>
      <c r="D22" s="11" t="s">
        <v>82</v>
      </c>
      <c r="E22" s="14">
        <v>-1</v>
      </c>
      <c r="F22" s="12" t="s">
        <v>78</v>
      </c>
      <c r="G22" s="11"/>
    </row>
    <row r="23" spans="1:7" ht="20.100000000000001" customHeight="1" x14ac:dyDescent="0.25">
      <c r="A23" s="10" t="s">
        <v>98</v>
      </c>
      <c r="B23" s="11" t="s">
        <v>24</v>
      </c>
      <c r="C23" s="12" t="s">
        <v>20</v>
      </c>
      <c r="D23" s="11" t="s">
        <v>77</v>
      </c>
      <c r="E23" s="14">
        <v>-1</v>
      </c>
      <c r="F23" s="12" t="s">
        <v>78</v>
      </c>
      <c r="G23" s="11"/>
    </row>
    <row r="24" spans="1:7" ht="20.100000000000001" customHeight="1" x14ac:dyDescent="0.25">
      <c r="A24" s="10" t="s">
        <v>99</v>
      </c>
      <c r="B24" s="11" t="s">
        <v>24</v>
      </c>
      <c r="C24" s="12" t="s">
        <v>20</v>
      </c>
      <c r="D24" s="11" t="s">
        <v>80</v>
      </c>
      <c r="E24" s="14">
        <v>1</v>
      </c>
      <c r="F24" s="12" t="s">
        <v>78</v>
      </c>
      <c r="G24" s="11"/>
    </row>
    <row r="25" spans="1:7" ht="20.100000000000001" customHeight="1" x14ac:dyDescent="0.25">
      <c r="A25" s="10" t="s">
        <v>100</v>
      </c>
      <c r="B25" s="11" t="s">
        <v>24</v>
      </c>
      <c r="C25" s="12" t="s">
        <v>20</v>
      </c>
      <c r="D25" s="11" t="s">
        <v>82</v>
      </c>
      <c r="E25" s="14">
        <v>0</v>
      </c>
      <c r="F25" s="12" t="s">
        <v>78</v>
      </c>
      <c r="G25" s="11"/>
    </row>
    <row r="26" spans="1:7" ht="21.95" customHeight="1" x14ac:dyDescent="0.25">
      <c r="A26" s="28" t="s">
        <v>31</v>
      </c>
      <c r="B26" s="29"/>
      <c r="C26" s="29"/>
      <c r="D26" s="29"/>
      <c r="E26" s="29"/>
      <c r="F26" s="29"/>
      <c r="G26" s="30"/>
    </row>
    <row r="27" spans="1:7" ht="20.100000000000001" customHeight="1" x14ac:dyDescent="0.25">
      <c r="A27" s="10" t="s">
        <v>101</v>
      </c>
      <c r="B27" s="11" t="s">
        <v>32</v>
      </c>
      <c r="C27" s="12" t="s">
        <v>16</v>
      </c>
      <c r="D27" s="11" t="s">
        <v>77</v>
      </c>
      <c r="E27" s="14">
        <v>1</v>
      </c>
      <c r="F27" s="12" t="s">
        <v>78</v>
      </c>
      <c r="G27" s="11"/>
    </row>
    <row r="28" spans="1:7" ht="20.100000000000001" customHeight="1" x14ac:dyDescent="0.25">
      <c r="A28" s="10" t="s">
        <v>102</v>
      </c>
      <c r="B28" s="11" t="s">
        <v>32</v>
      </c>
      <c r="C28" s="12" t="s">
        <v>16</v>
      </c>
      <c r="D28" s="11" t="s">
        <v>80</v>
      </c>
      <c r="E28" s="14">
        <v>-1</v>
      </c>
      <c r="F28" s="12" t="s">
        <v>78</v>
      </c>
      <c r="G28" s="11"/>
    </row>
    <row r="29" spans="1:7" ht="20.100000000000001" customHeight="1" x14ac:dyDescent="0.25">
      <c r="A29" s="10" t="s">
        <v>103</v>
      </c>
      <c r="B29" s="11" t="s">
        <v>32</v>
      </c>
      <c r="C29" s="12" t="s">
        <v>16</v>
      </c>
      <c r="D29" s="11" t="s">
        <v>82</v>
      </c>
      <c r="E29" s="14">
        <v>-1</v>
      </c>
      <c r="F29" s="12" t="s">
        <v>78</v>
      </c>
      <c r="G29" s="11"/>
    </row>
    <row r="30" spans="1:7" ht="20.100000000000001" customHeight="1" x14ac:dyDescent="0.25">
      <c r="A30" s="10" t="s">
        <v>104</v>
      </c>
      <c r="B30" s="11" t="s">
        <v>32</v>
      </c>
      <c r="C30" s="12" t="s">
        <v>18</v>
      </c>
      <c r="D30" s="11" t="s">
        <v>77</v>
      </c>
      <c r="E30" s="14">
        <v>2</v>
      </c>
      <c r="F30" s="12" t="s">
        <v>78</v>
      </c>
      <c r="G30" s="11"/>
    </row>
    <row r="31" spans="1:7" ht="20.100000000000001" customHeight="1" x14ac:dyDescent="0.25">
      <c r="A31" s="10" t="s">
        <v>105</v>
      </c>
      <c r="B31" s="11" t="s">
        <v>32</v>
      </c>
      <c r="C31" s="12" t="s">
        <v>18</v>
      </c>
      <c r="D31" s="11" t="s">
        <v>80</v>
      </c>
      <c r="E31" s="14">
        <v>3</v>
      </c>
      <c r="F31" s="12" t="s">
        <v>78</v>
      </c>
      <c r="G31" s="11"/>
    </row>
    <row r="32" spans="1:7" ht="20.100000000000001" customHeight="1" x14ac:dyDescent="0.25">
      <c r="A32" s="10" t="s">
        <v>106</v>
      </c>
      <c r="B32" s="11" t="s">
        <v>32</v>
      </c>
      <c r="C32" s="12" t="s">
        <v>18</v>
      </c>
      <c r="D32" s="11" t="s">
        <v>82</v>
      </c>
      <c r="E32" s="14">
        <v>3</v>
      </c>
      <c r="F32" s="12" t="s">
        <v>78</v>
      </c>
      <c r="G32" s="11"/>
    </row>
    <row r="33" spans="1:7" ht="20.100000000000001" customHeight="1" x14ac:dyDescent="0.25">
      <c r="A33" s="10" t="s">
        <v>107</v>
      </c>
      <c r="B33" s="11" t="s">
        <v>32</v>
      </c>
      <c r="C33" s="12" t="s">
        <v>20</v>
      </c>
      <c r="D33" s="11" t="s">
        <v>77</v>
      </c>
      <c r="E33" s="14">
        <v>-2</v>
      </c>
      <c r="F33" s="12" t="s">
        <v>78</v>
      </c>
      <c r="G33" s="11"/>
    </row>
    <row r="34" spans="1:7" ht="20.100000000000001" customHeight="1" x14ac:dyDescent="0.25">
      <c r="A34" s="10" t="s">
        <v>108</v>
      </c>
      <c r="B34" s="11" t="s">
        <v>32</v>
      </c>
      <c r="C34" s="12" t="s">
        <v>20</v>
      </c>
      <c r="D34" s="11" t="s">
        <v>80</v>
      </c>
      <c r="E34" s="14">
        <v>-1</v>
      </c>
      <c r="F34" s="12" t="s">
        <v>78</v>
      </c>
      <c r="G34" s="11"/>
    </row>
    <row r="35" spans="1:7" ht="20.100000000000001" customHeight="1" x14ac:dyDescent="0.25">
      <c r="A35" s="10" t="s">
        <v>109</v>
      </c>
      <c r="B35" s="11" t="s">
        <v>32</v>
      </c>
      <c r="C35" s="12" t="s">
        <v>20</v>
      </c>
      <c r="D35" s="11" t="s">
        <v>82</v>
      </c>
      <c r="E35" s="14">
        <v>-1</v>
      </c>
      <c r="F35" s="12" t="s">
        <v>78</v>
      </c>
      <c r="G35" s="11"/>
    </row>
    <row r="36" spans="1:7" ht="21.95" customHeight="1" x14ac:dyDescent="0.25">
      <c r="A36" s="28" t="s">
        <v>31</v>
      </c>
      <c r="B36" s="29"/>
      <c r="C36" s="29"/>
      <c r="D36" s="29"/>
      <c r="E36" s="29"/>
      <c r="F36" s="29"/>
      <c r="G36" s="30"/>
    </row>
    <row r="37" spans="1:7" ht="20.100000000000001" customHeight="1" x14ac:dyDescent="0.25">
      <c r="A37" s="15" t="s">
        <v>110</v>
      </c>
      <c r="B37" s="16" t="s">
        <v>39</v>
      </c>
      <c r="C37" s="17" t="s">
        <v>16</v>
      </c>
      <c r="D37" s="16" t="s">
        <v>77</v>
      </c>
      <c r="E37" s="19"/>
      <c r="F37" s="17" t="s">
        <v>111</v>
      </c>
      <c r="G37" s="16" t="s">
        <v>112</v>
      </c>
    </row>
    <row r="38" spans="1:7" ht="20.100000000000001" customHeight="1" x14ac:dyDescent="0.25">
      <c r="A38" s="15" t="s">
        <v>113</v>
      </c>
      <c r="B38" s="16" t="s">
        <v>39</v>
      </c>
      <c r="C38" s="17" t="s">
        <v>16</v>
      </c>
      <c r="D38" s="16" t="s">
        <v>80</v>
      </c>
      <c r="E38" s="19"/>
      <c r="F38" s="17" t="s">
        <v>111</v>
      </c>
      <c r="G38" s="16" t="s">
        <v>112</v>
      </c>
    </row>
    <row r="39" spans="1:7" ht="20.100000000000001" customHeight="1" x14ac:dyDescent="0.25">
      <c r="A39" s="15" t="s">
        <v>114</v>
      </c>
      <c r="B39" s="16" t="s">
        <v>39</v>
      </c>
      <c r="C39" s="17" t="s">
        <v>16</v>
      </c>
      <c r="D39" s="16" t="s">
        <v>82</v>
      </c>
      <c r="E39" s="19"/>
      <c r="F39" s="17" t="s">
        <v>111</v>
      </c>
      <c r="G39" s="16" t="s">
        <v>112</v>
      </c>
    </row>
    <row r="40" spans="1:7" ht="20.100000000000001" customHeight="1" x14ac:dyDescent="0.25">
      <c r="A40" s="15" t="s">
        <v>115</v>
      </c>
      <c r="B40" s="16" t="s">
        <v>39</v>
      </c>
      <c r="C40" s="17" t="s">
        <v>18</v>
      </c>
      <c r="D40" s="16" t="s">
        <v>77</v>
      </c>
      <c r="E40" s="19"/>
      <c r="F40" s="17" t="s">
        <v>111</v>
      </c>
      <c r="G40" s="16" t="s">
        <v>112</v>
      </c>
    </row>
    <row r="41" spans="1:7" ht="20.100000000000001" customHeight="1" x14ac:dyDescent="0.25">
      <c r="A41" s="15" t="s">
        <v>116</v>
      </c>
      <c r="B41" s="16" t="s">
        <v>39</v>
      </c>
      <c r="C41" s="17" t="s">
        <v>18</v>
      </c>
      <c r="D41" s="16" t="s">
        <v>80</v>
      </c>
      <c r="E41" s="19"/>
      <c r="F41" s="17" t="s">
        <v>111</v>
      </c>
      <c r="G41" s="16" t="s">
        <v>112</v>
      </c>
    </row>
    <row r="42" spans="1:7" ht="20.100000000000001" customHeight="1" x14ac:dyDescent="0.25">
      <c r="A42" s="15" t="s">
        <v>117</v>
      </c>
      <c r="B42" s="16" t="s">
        <v>39</v>
      </c>
      <c r="C42" s="17" t="s">
        <v>18</v>
      </c>
      <c r="D42" s="16" t="s">
        <v>82</v>
      </c>
      <c r="E42" s="19"/>
      <c r="F42" s="17" t="s">
        <v>111</v>
      </c>
      <c r="G42" s="16" t="s">
        <v>112</v>
      </c>
    </row>
    <row r="43" spans="1:7" ht="20.100000000000001" customHeight="1" x14ac:dyDescent="0.25">
      <c r="A43" s="15" t="s">
        <v>118</v>
      </c>
      <c r="B43" s="16" t="s">
        <v>39</v>
      </c>
      <c r="C43" s="17" t="s">
        <v>20</v>
      </c>
      <c r="D43" s="16" t="s">
        <v>77</v>
      </c>
      <c r="E43" s="19"/>
      <c r="F43" s="17" t="s">
        <v>111</v>
      </c>
      <c r="G43" s="16" t="s">
        <v>112</v>
      </c>
    </row>
    <row r="44" spans="1:7" ht="20.100000000000001" customHeight="1" x14ac:dyDescent="0.25">
      <c r="A44" s="15" t="s">
        <v>119</v>
      </c>
      <c r="B44" s="16" t="s">
        <v>39</v>
      </c>
      <c r="C44" s="17" t="s">
        <v>20</v>
      </c>
      <c r="D44" s="16" t="s">
        <v>80</v>
      </c>
      <c r="E44" s="19"/>
      <c r="F44" s="17" t="s">
        <v>111</v>
      </c>
      <c r="G44" s="16" t="s">
        <v>112</v>
      </c>
    </row>
    <row r="45" spans="1:7" ht="20.100000000000001" customHeight="1" x14ac:dyDescent="0.25">
      <c r="A45" s="15" t="s">
        <v>120</v>
      </c>
      <c r="B45" s="16" t="s">
        <v>39</v>
      </c>
      <c r="C45" s="17" t="s">
        <v>20</v>
      </c>
      <c r="D45" s="16" t="s">
        <v>82</v>
      </c>
      <c r="E45" s="19"/>
      <c r="F45" s="17" t="s">
        <v>111</v>
      </c>
      <c r="G45" s="16" t="s">
        <v>112</v>
      </c>
    </row>
    <row r="46" spans="1:7" ht="20.100000000000001" customHeight="1" x14ac:dyDescent="0.25">
      <c r="A46" s="15" t="s">
        <v>121</v>
      </c>
      <c r="B46" s="16" t="s">
        <v>39</v>
      </c>
      <c r="C46" s="17" t="s">
        <v>22</v>
      </c>
      <c r="D46" s="16" t="s">
        <v>77</v>
      </c>
      <c r="E46" s="19"/>
      <c r="F46" s="17" t="s">
        <v>111</v>
      </c>
      <c r="G46" s="16" t="s">
        <v>112</v>
      </c>
    </row>
    <row r="47" spans="1:7" ht="20.100000000000001" customHeight="1" x14ac:dyDescent="0.25">
      <c r="A47" s="15" t="s">
        <v>122</v>
      </c>
      <c r="B47" s="16" t="s">
        <v>39</v>
      </c>
      <c r="C47" s="17" t="s">
        <v>22</v>
      </c>
      <c r="D47" s="16" t="s">
        <v>80</v>
      </c>
      <c r="E47" s="19"/>
      <c r="F47" s="17" t="s">
        <v>111</v>
      </c>
      <c r="G47" s="16" t="s">
        <v>112</v>
      </c>
    </row>
    <row r="48" spans="1:7" ht="20.100000000000001" customHeight="1" x14ac:dyDescent="0.25">
      <c r="A48" s="15" t="s">
        <v>123</v>
      </c>
      <c r="B48" s="16" t="s">
        <v>39</v>
      </c>
      <c r="C48" s="17" t="s">
        <v>22</v>
      </c>
      <c r="D48" s="16" t="s">
        <v>82</v>
      </c>
      <c r="E48" s="19"/>
      <c r="F48" s="17" t="s">
        <v>111</v>
      </c>
      <c r="G48" s="16" t="s">
        <v>112</v>
      </c>
    </row>
    <row r="49" spans="1:7" ht="21.95" customHeight="1" x14ac:dyDescent="0.25">
      <c r="A49" s="28" t="s">
        <v>47</v>
      </c>
      <c r="B49" s="29"/>
      <c r="C49" s="29"/>
      <c r="D49" s="29"/>
      <c r="E49" s="29"/>
      <c r="F49" s="29"/>
      <c r="G49" s="30"/>
    </row>
    <row r="51" spans="1:7" ht="21.95" customHeight="1" x14ac:dyDescent="0.25">
      <c r="A51" s="31" t="s">
        <v>124</v>
      </c>
      <c r="B51" s="27"/>
      <c r="C51" s="27"/>
      <c r="D51" s="27"/>
      <c r="E51" s="27"/>
      <c r="F51" s="27"/>
      <c r="G51" s="27"/>
    </row>
  </sheetData>
  <mergeCells count="6">
    <mergeCell ref="A36:G36"/>
    <mergeCell ref="A1:G1"/>
    <mergeCell ref="A51:G51"/>
    <mergeCell ref="A26:G26"/>
    <mergeCell ref="A2:G2"/>
    <mergeCell ref="A49:G49"/>
  </mergeCells>
  <pageMargins left="0.45" right="0.45" top="0.5" bottom="0.5" header="0.5" footer="0.5"/>
  <pageSetup paperSize="3" orientation="landscape"/>
  <headerFooter>
    <oddFooter>&amp;LAllegis AI Simulation — event field map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Scores</vt:lpstr>
      <vt:lpstr>Wobbler</vt:lpstr>
      <vt:lpstr>Event fields</vt:lpstr>
      <vt:lpstr>'Event fields'!Print_Area</vt:lpstr>
      <vt:lpstr>Scores!Print_Area</vt:lpstr>
      <vt:lpstr>Wobbler!Print_Area</vt:lpstr>
      <vt:lpstr>Scores!Print_Titles</vt:lpstr>
      <vt:lpstr>ScoringKey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Allegis AI Simulation scoring sheet</dc:title>
  <dc:subject>Option scores from Allegis Simulation Framework_For Digital</dc:subject>
  <dc:creator>openpyxl</dc:creator>
  <cp:lastModifiedBy>Rahul Bhalekar</cp:lastModifiedBy>
  <dcterms:created xsi:type="dcterms:W3CDTF">2026-10-08T07:10:32Z</dcterms:created>
  <dcterms:modified xsi:type="dcterms:W3CDTF">2026-10-08T10:53:03Z</dcterms:modified>
</cp:coreProperties>
</file>